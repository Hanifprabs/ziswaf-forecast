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9EECF22-2311-45C8-979F-6609BEFD64B2}" xr6:coauthVersionLast="47" xr6:coauthVersionMax="47" xr10:uidLastSave="{00000000-0000-0000-0000-000000000000}"/>
  <bookViews>
    <workbookView xWindow="-108" yWindow="-108" windowWidth="23256" windowHeight="12456" xr2:uid="{D54988E1-22D0-4C16-A51A-F5762A12A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</calcChain>
</file>

<file path=xl/sharedStrings.xml><?xml version="1.0" encoding="utf-8"?>
<sst xmlns="http://schemas.openxmlformats.org/spreadsheetml/2006/main" count="11" uniqueCount="11">
  <si>
    <t>zakat_collection</t>
  </si>
  <si>
    <t>year</t>
  </si>
  <si>
    <t>infak_collection</t>
  </si>
  <si>
    <t>sedekah_collection</t>
  </si>
  <si>
    <t>wakaf_collection</t>
  </si>
  <si>
    <t>total_ziswaf_collection</t>
  </si>
  <si>
    <t>zakat_growth_yoy</t>
  </si>
  <si>
    <t>infaq_growth_yoy</t>
  </si>
  <si>
    <t>sedekah_growth_yoy</t>
  </si>
  <si>
    <t>wakaf_growth_yoy</t>
  </si>
  <si>
    <t>ziswaf_total_growth_yoy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</si>
</sst>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3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Border="1" applyAlignment="1">
      <alignment horizontal="right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AF2A-BBA1-447D-A91F-86A474B027A1}">
  <dimension ref="A1:S12"/>
  <sheetViews>
    <sheetView tabSelected="1" topLeftCell="H1" workbookViewId="0">
      <selection activeCell="W22" sqref="W22"/>
    </sheetView>
  </sheetViews>
  <sheetFormatPr defaultRowHeight="14.4" x14ac:dyDescent="0.3"/>
  <cols>
    <col min="1" max="1" width="8.77734375" style="1"/>
    <col min="14" max="14" width="20.33203125" bestFit="1" customWidth="1"/>
    <col min="15" max="16" width="18" customWidth="1"/>
    <col min="17" max="17" width="19.33203125" bestFit="1" customWidth="1"/>
    <col min="18" max="18" width="19.33203125" customWidth="1"/>
    <col min="19" max="19" width="25.33203125" customWidth="1"/>
  </cols>
  <sheetData>
    <row r="1" spans="1:19" x14ac:dyDescent="0.3">
      <c r="A1" s="2" t="s">
        <v>1</v>
      </c>
      <c r="B1" s="12" t="s">
        <v>0</v>
      </c>
      <c r="C1" s="13"/>
      <c r="D1" s="14"/>
      <c r="E1" s="12" t="s">
        <v>2</v>
      </c>
      <c r="F1" s="13"/>
      <c r="G1" s="14"/>
      <c r="H1" s="12" t="s">
        <v>3</v>
      </c>
      <c r="I1" s="13"/>
      <c r="J1" s="14"/>
      <c r="K1" s="12" t="s">
        <v>4</v>
      </c>
      <c r="L1" s="13"/>
      <c r="M1" s="14"/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</row>
    <row r="2" spans="1:19" x14ac:dyDescent="0.3">
      <c r="A2" s="3">
        <v>2015</v>
      </c>
      <c r="B2" s="9">
        <v>2141224556132</v>
      </c>
      <c r="C2" s="10"/>
      <c r="D2" s="11"/>
      <c r="E2" s="9">
        <v>168116668883</v>
      </c>
      <c r="F2" s="10"/>
      <c r="G2" s="11"/>
      <c r="H2" s="9">
        <v>1177264782654</v>
      </c>
      <c r="I2" s="10"/>
      <c r="J2" s="11"/>
      <c r="K2" s="9">
        <v>163097869604</v>
      </c>
      <c r="L2" s="10"/>
      <c r="M2" s="11"/>
      <c r="N2" s="5">
        <f>SUM(B2:M2)</f>
        <v>3649703877273</v>
      </c>
      <c r="O2" s="6"/>
      <c r="P2" s="5"/>
      <c r="Q2" s="5"/>
      <c r="R2" s="7"/>
      <c r="S2" s="7"/>
    </row>
    <row r="3" spans="1:19" x14ac:dyDescent="0.3">
      <c r="A3" s="3">
        <v>2016</v>
      </c>
      <c r="B3" s="9">
        <v>3464241692313</v>
      </c>
      <c r="C3" s="10"/>
      <c r="D3" s="11"/>
      <c r="E3" s="9">
        <v>273975100183</v>
      </c>
      <c r="F3" s="10"/>
      <c r="G3" s="11"/>
      <c r="H3" s="9">
        <v>1001498305006</v>
      </c>
      <c r="I3" s="10"/>
      <c r="J3" s="11"/>
      <c r="K3" s="9">
        <v>277336514452</v>
      </c>
      <c r="L3" s="10"/>
      <c r="M3" s="11"/>
      <c r="N3" s="5">
        <f t="shared" ref="N3:N12" si="0">SUM(B3:M3)</f>
        <v>5017051611954</v>
      </c>
      <c r="O3" s="7">
        <v>0.6179</v>
      </c>
      <c r="P3" s="7">
        <v>0.62970000000000004</v>
      </c>
      <c r="Q3" s="7">
        <v>-0.14929999999999999</v>
      </c>
      <c r="R3" s="8">
        <v>0.70040000000000002</v>
      </c>
      <c r="S3" s="7">
        <v>0.37459999999999999</v>
      </c>
    </row>
    <row r="4" spans="1:19" x14ac:dyDescent="0.3">
      <c r="A4" s="3">
        <v>2017</v>
      </c>
      <c r="B4" s="9">
        <v>3092216272025</v>
      </c>
      <c r="C4" s="10"/>
      <c r="D4" s="11"/>
      <c r="E4" s="9">
        <v>1101926162357</v>
      </c>
      <c r="F4" s="10"/>
      <c r="G4" s="11"/>
      <c r="H4" s="9">
        <v>1764883196992</v>
      </c>
      <c r="I4" s="10"/>
      <c r="J4" s="11"/>
      <c r="K4" s="9">
        <v>265345638101</v>
      </c>
      <c r="L4" s="10"/>
      <c r="M4" s="11"/>
      <c r="N4" s="5">
        <f t="shared" si="0"/>
        <v>6224371269475</v>
      </c>
      <c r="O4" s="7">
        <v>-0.1074</v>
      </c>
      <c r="P4" s="7">
        <v>3.0219999999999998</v>
      </c>
      <c r="Q4" s="7">
        <v>0.76219999999999999</v>
      </c>
      <c r="R4" s="8">
        <v>-4.3200000000000002E-2</v>
      </c>
      <c r="S4" s="7">
        <v>0.24060000000000001</v>
      </c>
    </row>
    <row r="5" spans="1:19" x14ac:dyDescent="0.3">
      <c r="A5" s="3">
        <v>2018</v>
      </c>
      <c r="B5" s="9">
        <v>3794672544274</v>
      </c>
      <c r="C5" s="10"/>
      <c r="D5" s="11"/>
      <c r="E5" s="9">
        <v>1112605640958</v>
      </c>
      <c r="F5" s="10"/>
      <c r="G5" s="11"/>
      <c r="H5" s="9">
        <v>2403032411563</v>
      </c>
      <c r="I5" s="10"/>
      <c r="J5" s="11"/>
      <c r="K5" s="9">
        <v>692939298007</v>
      </c>
      <c r="L5" s="10"/>
      <c r="M5" s="11"/>
      <c r="N5" s="5">
        <f t="shared" si="0"/>
        <v>8003249894802</v>
      </c>
      <c r="O5" s="7">
        <v>0.22720000000000001</v>
      </c>
      <c r="P5" s="7">
        <v>9.7000000000000003E-3</v>
      </c>
      <c r="Q5" s="7">
        <v>0.36159999999999998</v>
      </c>
      <c r="R5" s="8">
        <v>1.6114999999999999</v>
      </c>
      <c r="S5" s="7">
        <v>0.2858</v>
      </c>
    </row>
    <row r="6" spans="1:19" x14ac:dyDescent="0.3">
      <c r="A6" s="3">
        <v>2019</v>
      </c>
      <c r="B6" s="9">
        <v>4257850853779</v>
      </c>
      <c r="C6" s="10"/>
      <c r="D6" s="11"/>
      <c r="E6" s="9">
        <v>1406144490186</v>
      </c>
      <c r="F6" s="10"/>
      <c r="G6" s="11"/>
      <c r="H6" s="9">
        <v>3294451710581</v>
      </c>
      <c r="I6" s="10"/>
      <c r="J6" s="11"/>
      <c r="K6" s="9">
        <v>1173101311393</v>
      </c>
      <c r="L6" s="10"/>
      <c r="M6" s="11"/>
      <c r="N6" s="5">
        <f t="shared" si="0"/>
        <v>10131548365939</v>
      </c>
      <c r="O6" s="7">
        <v>0.1221</v>
      </c>
      <c r="P6" s="7">
        <v>0.26379999999999998</v>
      </c>
      <c r="Q6" s="7">
        <v>0.371</v>
      </c>
      <c r="R6" s="8">
        <v>0.69289999999999996</v>
      </c>
      <c r="S6" s="7">
        <v>0.26590000000000003</v>
      </c>
    </row>
    <row r="7" spans="1:19" x14ac:dyDescent="0.3">
      <c r="A7" s="3">
        <v>2020</v>
      </c>
      <c r="B7" s="9">
        <v>2763949197955</v>
      </c>
      <c r="C7" s="10"/>
      <c r="D7" s="11"/>
      <c r="E7" s="9">
        <v>503402293873</v>
      </c>
      <c r="F7" s="10"/>
      <c r="G7" s="11"/>
      <c r="H7" s="9">
        <v>2248029009244</v>
      </c>
      <c r="I7" s="10"/>
      <c r="J7" s="11"/>
      <c r="K7" s="9">
        <v>926624286654</v>
      </c>
      <c r="L7" s="10"/>
      <c r="M7" s="11"/>
      <c r="N7" s="5">
        <f t="shared" si="0"/>
        <v>6442004787726</v>
      </c>
      <c r="O7" s="7">
        <v>-0.35089999999999999</v>
      </c>
      <c r="P7" s="7">
        <v>-0.64200000000000002</v>
      </c>
      <c r="Q7" s="7">
        <v>-0.31759999999999999</v>
      </c>
      <c r="R7" s="8">
        <v>-0.21010000000000001</v>
      </c>
      <c r="S7" s="7">
        <v>-0.36420000000000002</v>
      </c>
    </row>
    <row r="8" spans="1:19" x14ac:dyDescent="0.3">
      <c r="A8" s="3">
        <v>2021</v>
      </c>
      <c r="B8" s="9">
        <v>3101811737515</v>
      </c>
      <c r="C8" s="10"/>
      <c r="D8" s="11"/>
      <c r="E8" s="9">
        <v>515999978331</v>
      </c>
      <c r="F8" s="10"/>
      <c r="G8" s="11"/>
      <c r="H8" s="9">
        <v>2565427528375</v>
      </c>
      <c r="I8" s="10"/>
      <c r="J8" s="11"/>
      <c r="K8" s="9">
        <v>959417037588</v>
      </c>
      <c r="L8" s="10"/>
      <c r="M8" s="11"/>
      <c r="N8" s="5">
        <f t="shared" si="0"/>
        <v>7142656281809</v>
      </c>
      <c r="O8" s="7">
        <v>0.1222</v>
      </c>
      <c r="P8" s="7">
        <v>2.5000000000000001E-2</v>
      </c>
      <c r="Q8" s="7">
        <v>0.14119999999999999</v>
      </c>
      <c r="R8" s="8">
        <v>3.5400000000000001E-2</v>
      </c>
      <c r="S8" s="7">
        <v>0.10879999999999999</v>
      </c>
    </row>
    <row r="9" spans="1:19" x14ac:dyDescent="0.3">
      <c r="A9" s="3">
        <v>2022</v>
      </c>
      <c r="B9" s="9">
        <v>3766836909627</v>
      </c>
      <c r="C9" s="10"/>
      <c r="D9" s="11"/>
      <c r="E9" s="9">
        <v>204192447248</v>
      </c>
      <c r="F9" s="10"/>
      <c r="G9" s="11"/>
      <c r="H9" s="9">
        <v>2363656435622</v>
      </c>
      <c r="I9" s="10"/>
      <c r="J9" s="11"/>
      <c r="K9" s="9">
        <v>538532874967</v>
      </c>
      <c r="L9" s="10"/>
      <c r="M9" s="11"/>
      <c r="N9" s="5">
        <f t="shared" si="0"/>
        <v>6873218667464</v>
      </c>
      <c r="O9" s="7">
        <v>0.21440000000000001</v>
      </c>
      <c r="P9" s="7">
        <v>-0.60429999999999995</v>
      </c>
      <c r="Q9" s="7">
        <v>-7.8700000000000006E-2</v>
      </c>
      <c r="R9" s="8">
        <v>-0.43869999999999998</v>
      </c>
      <c r="S9" s="7">
        <v>-3.7699999999999997E-2</v>
      </c>
    </row>
    <row r="10" spans="1:19" x14ac:dyDescent="0.3">
      <c r="A10" s="3">
        <v>2023</v>
      </c>
      <c r="B10" s="9">
        <v>3663705688380</v>
      </c>
      <c r="C10" s="10"/>
      <c r="D10" s="11"/>
      <c r="E10" s="9">
        <v>283890910808</v>
      </c>
      <c r="F10" s="10"/>
      <c r="G10" s="11"/>
      <c r="H10" s="9">
        <v>3893401569392</v>
      </c>
      <c r="I10" s="10"/>
      <c r="J10" s="11"/>
      <c r="K10" s="9">
        <v>2395638037322</v>
      </c>
      <c r="L10" s="10"/>
      <c r="M10" s="11"/>
      <c r="N10" s="5">
        <f t="shared" si="0"/>
        <v>10236636205902</v>
      </c>
      <c r="O10" s="7">
        <v>-2.7400000000000001E-2</v>
      </c>
      <c r="P10" s="7">
        <v>0.39029999999999998</v>
      </c>
      <c r="Q10" s="7">
        <v>0.6472</v>
      </c>
      <c r="R10" s="8">
        <v>3.4485000000000001</v>
      </c>
      <c r="S10" s="7">
        <v>0.4894</v>
      </c>
    </row>
    <row r="11" spans="1:19" x14ac:dyDescent="0.3">
      <c r="A11" s="3">
        <v>2024</v>
      </c>
      <c r="B11" s="9">
        <v>4378110435139</v>
      </c>
      <c r="C11" s="10"/>
      <c r="D11" s="11"/>
      <c r="E11" s="9">
        <v>619318679208</v>
      </c>
      <c r="F11" s="10"/>
      <c r="G11" s="11"/>
      <c r="H11" s="9">
        <v>3828841975424</v>
      </c>
      <c r="I11" s="10"/>
      <c r="J11" s="11"/>
      <c r="K11" s="9">
        <v>255855860558</v>
      </c>
      <c r="L11" s="10"/>
      <c r="M11" s="11"/>
      <c r="N11" s="5">
        <f t="shared" si="0"/>
        <v>9082126950329</v>
      </c>
      <c r="O11" s="7">
        <v>0.19500000000000001</v>
      </c>
      <c r="P11" s="7">
        <v>1.1815</v>
      </c>
      <c r="Q11" s="7">
        <v>-1.66E-2</v>
      </c>
      <c r="R11" s="8">
        <v>-0.89319999999999999</v>
      </c>
      <c r="S11" s="7">
        <v>-0.1128</v>
      </c>
    </row>
    <row r="12" spans="1:19" x14ac:dyDescent="0.3">
      <c r="A12" s="3">
        <v>2025</v>
      </c>
      <c r="B12" s="9">
        <v>4298395114071</v>
      </c>
      <c r="C12" s="10"/>
      <c r="D12" s="11"/>
      <c r="E12" s="9">
        <v>715697836679</v>
      </c>
      <c r="F12" s="10"/>
      <c r="G12" s="11"/>
      <c r="H12" s="9">
        <v>4182632249273</v>
      </c>
      <c r="I12" s="10"/>
      <c r="J12" s="11"/>
      <c r="K12" s="9">
        <v>329691652873</v>
      </c>
      <c r="L12" s="10"/>
      <c r="M12" s="11"/>
      <c r="N12" s="5">
        <f t="shared" si="0"/>
        <v>9526416852896</v>
      </c>
      <c r="O12" s="7">
        <v>-1.8200000000000001E-2</v>
      </c>
      <c r="P12" s="7">
        <v>0.15559999999999999</v>
      </c>
      <c r="Q12" s="7">
        <v>9.2399999999999996E-2</v>
      </c>
      <c r="R12" s="8">
        <v>0.28860000000000002</v>
      </c>
      <c r="S12" s="7">
        <v>4.8899999999999999E-2</v>
      </c>
    </row>
  </sheetData>
  <mergeCells count="48">
    <mergeCell ref="B1:D1"/>
    <mergeCell ref="E1:G1"/>
    <mergeCell ref="B2:D2"/>
    <mergeCell ref="E2:G2"/>
    <mergeCell ref="H1:J1"/>
    <mergeCell ref="H2:J2"/>
    <mergeCell ref="K1:M1"/>
    <mergeCell ref="K2:M2"/>
    <mergeCell ref="H8:J8"/>
    <mergeCell ref="H9:J9"/>
    <mergeCell ref="H10:J10"/>
    <mergeCell ref="H11:J11"/>
    <mergeCell ref="H12:J12"/>
    <mergeCell ref="B9:D9"/>
    <mergeCell ref="B10:D10"/>
    <mergeCell ref="B11:D11"/>
    <mergeCell ref="B12:D12"/>
    <mergeCell ref="E8:G8"/>
    <mergeCell ref="B8:D8"/>
    <mergeCell ref="E9:G9"/>
    <mergeCell ref="E10:G10"/>
    <mergeCell ref="E11:G11"/>
    <mergeCell ref="E12:G12"/>
    <mergeCell ref="E3:G3"/>
    <mergeCell ref="E4:G4"/>
    <mergeCell ref="E5:G5"/>
    <mergeCell ref="E6:G6"/>
    <mergeCell ref="E7:G7"/>
    <mergeCell ref="B3:D3"/>
    <mergeCell ref="B4:D4"/>
    <mergeCell ref="B5:D5"/>
    <mergeCell ref="B6:D6"/>
    <mergeCell ref="B7:D7"/>
    <mergeCell ref="H3:J3"/>
    <mergeCell ref="H4:J4"/>
    <mergeCell ref="H5:J5"/>
    <mergeCell ref="H6:J6"/>
    <mergeCell ref="H7:J7"/>
    <mergeCell ref="K9:M9"/>
    <mergeCell ref="K10:M10"/>
    <mergeCell ref="K11:M11"/>
    <mergeCell ref="K12:M12"/>
    <mergeCell ref="K8:M8"/>
    <mergeCell ref="K3:M3"/>
    <mergeCell ref="K4:M4"/>
    <mergeCell ref="K5:M5"/>
    <mergeCell ref="K6:M6"/>
    <mergeCell ref="K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Muhammad Hanif Prabowo</cp:lastModifiedBy>
  <dcterms:created xsi:type="dcterms:W3CDTF">2026-03-26T15:24:40Z</dcterms:created>
  <dcterms:modified xsi:type="dcterms:W3CDTF">2026-03-28T02:07:01Z</dcterms:modified>
</cp:coreProperties>
</file>